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na Business Data" sheetId="1" r:id="rId4"/>
    <sheet state="visible" name="Category Summary" sheetId="2" r:id="rId5"/>
  </sheets>
  <definedNames/>
  <calcPr/>
</workbook>
</file>

<file path=xl/sharedStrings.xml><?xml version="1.0" encoding="utf-8"?>
<sst xmlns="http://schemas.openxmlformats.org/spreadsheetml/2006/main" count="363" uniqueCount="204">
  <si>
    <t>S.No</t>
  </si>
  <si>
    <t>Business Name</t>
  </si>
  <si>
    <t>Category</t>
  </si>
  <si>
    <t>Address</t>
  </si>
  <si>
    <t>Phone Number</t>
  </si>
  <si>
    <t>Google Rating</t>
  </si>
  <si>
    <t>Total Reviews</t>
  </si>
  <si>
    <t>Price Level (1-4)</t>
  </si>
  <si>
    <t>Working Hours</t>
  </si>
  <si>
    <t>Has Website?</t>
  </si>
  <si>
    <t>Digital Growth Opportunity</t>
  </si>
  <si>
    <t>Barkaas Patna</t>
  </si>
  <si>
    <t>Restaurant</t>
  </si>
  <si>
    <t>Fourth Floor, Dumraon Place, Fraser Road Area, Patna, Bihar 800001</t>
  </si>
  <si>
    <t>+91 75577 51884</t>
  </si>
  <si>
    <t>12:00 PM – 12:00 AM</t>
  </si>
  <si>
    <t>No</t>
  </si>
  <si>
    <t>High</t>
  </si>
  <si>
    <t>Patna Darbar Restaurant</t>
  </si>
  <si>
    <t>R R Complex, Sadhan Path, Ashiana-Digha Rd, Rukanpura, Patna, Bihar 800025</t>
  </si>
  <si>
    <t>+91 91428 05071</t>
  </si>
  <si>
    <t>11:00 AM – 11:00 PM</t>
  </si>
  <si>
    <t>Vrihi Skydeck - Rooftop Restaurant</t>
  </si>
  <si>
    <t>Atal Path, near Rajdhani Apartment, Mahesh Nagar, Patna, Bihar 800024</t>
  </si>
  <si>
    <t>+91 72950 54268</t>
  </si>
  <si>
    <t>10:00 AM – 11:00 PM</t>
  </si>
  <si>
    <t xml:space="preserve">Yes </t>
  </si>
  <si>
    <t>Amritsar Haveli Patna</t>
  </si>
  <si>
    <t>NC-6, Gayatri Mandir Rd, Kankarbagh, Patna, Bihar 800020</t>
  </si>
  <si>
    <t>+91 612 354 6985</t>
  </si>
  <si>
    <t>Foresto Paradise</t>
  </si>
  <si>
    <t>8th floor, Patna One Plaza, New Dak Bunglow Rd, Patna, Bihar 800001</t>
  </si>
  <si>
    <t>+91 92644 55504</t>
  </si>
  <si>
    <t>10:30 AM – 11:30 PM</t>
  </si>
  <si>
    <t>Yes</t>
  </si>
  <si>
    <t>Medium</t>
  </si>
  <si>
    <t>Pind Balluchi</t>
  </si>
  <si>
    <t>6th Floor, above Reliance Trends, Saguna More, Patna, Bihar 801503</t>
  </si>
  <si>
    <t>+91 92791 13300</t>
  </si>
  <si>
    <t>12:00 – 11:00 PM</t>
  </si>
  <si>
    <t>The Picante</t>
  </si>
  <si>
    <t>H3HX+H96, Anisabad, Patna, Bihar 800002</t>
  </si>
  <si>
    <t>Not listed</t>
  </si>
  <si>
    <t>The Glass Box</t>
  </si>
  <si>
    <t>B/77 P.C. Colony, Kankarbagh, Patna, Bihar 800020</t>
  </si>
  <si>
    <t>+91 90655 96966</t>
  </si>
  <si>
    <t>Pista House, Patna</t>
  </si>
  <si>
    <t>SP Verma Rd, Old Jakkanpur, Lodipur, Patna, Bihar 800001</t>
  </si>
  <si>
    <t>+91 95700 03101</t>
  </si>
  <si>
    <t>10:00 AM – 11:30 PM</t>
  </si>
  <si>
    <t>Cafe Hideout (Kankarbagh)</t>
  </si>
  <si>
    <t>Gayatri Mandir Rd, Kankarbagh, Patrakar Nagar, Patna, Bihar 800020</t>
  </si>
  <si>
    <t>+91 62039 68646</t>
  </si>
  <si>
    <t>Beauty Island Bridal Makeup</t>
  </si>
  <si>
    <t>Salon</t>
  </si>
  <si>
    <t>V Mart, Boring Rd, Patna, Bihar 800001</t>
  </si>
  <si>
    <t>+91 72505 47186</t>
  </si>
  <si>
    <t>11:00 AM – 8:00 PM</t>
  </si>
  <si>
    <t>Looks Salon</t>
  </si>
  <si>
    <t>Hira Palace, New Dak Bunglow Rd, Lodipur, Patna, Bihar 800001</t>
  </si>
  <si>
    <t>+91 95259 17192</t>
  </si>
  <si>
    <t>10:00 AM – 9:00/9:30 PM</t>
  </si>
  <si>
    <t>The BIBA Salon</t>
  </si>
  <si>
    <t>Murya Path, RPS Nagar, Mustafapur, Patna, Bihar 801105</t>
  </si>
  <si>
    <t>+91 90315 50961</t>
  </si>
  <si>
    <t>9:00 AM – 9:00 PM</t>
  </si>
  <si>
    <t>isalon</t>
  </si>
  <si>
    <t>Ram Suchit Mishra Path, Sri Krishna Nagar, Kidwaipuri, Patna, Bihar 800001</t>
  </si>
  <si>
    <t>+91 99734 87878</t>
  </si>
  <si>
    <t>11:30 AM – 7:30 PM</t>
  </si>
  <si>
    <t>Lakme Salon, Patliputra Colony</t>
  </si>
  <si>
    <t>No 140, C1 &amp; C2, Patliputra Colony, Patna, Bihar 800013</t>
  </si>
  <si>
    <t>+91 85444 99999</t>
  </si>
  <si>
    <t>10:00 AM – 9:00 PM</t>
  </si>
  <si>
    <t>Beard and Bride</t>
  </si>
  <si>
    <t>90 Feet Rd, Malahi Pakri, Kankarbagh, Patna, Bihar 800020</t>
  </si>
  <si>
    <t>+91 90655 70555</t>
  </si>
  <si>
    <t>10:30 AM – 9:00 PM</t>
  </si>
  <si>
    <t>Naturals Salon</t>
  </si>
  <si>
    <t>Samridhi Complex, SP Verma Rd, Old Jakkanpur, Patna, Bihar 800001</t>
  </si>
  <si>
    <t>+91 90315 31333</t>
  </si>
  <si>
    <t>10:00 AM – 8:30/9:00 PM</t>
  </si>
  <si>
    <t>Lakme Salon Rajendra Nagar</t>
  </si>
  <si>
    <t>Krishna Kunj, Arya Kumar Rd, Rajendra Nagar, Patna, Bihar 800016</t>
  </si>
  <si>
    <t>+91 79705 96959</t>
  </si>
  <si>
    <t>10:30 AM – 8:00 PM</t>
  </si>
  <si>
    <t>Geetanjali</t>
  </si>
  <si>
    <t>P C Colony Rd, opp. Medanta Hospital, Kankarbagh, Patna, Bihar 800020</t>
  </si>
  <si>
    <t>+91 91554 99224</t>
  </si>
  <si>
    <t>TONI &amp; GUY Kankarbagh</t>
  </si>
  <si>
    <t>Vidya Enclave, B-184, near Lohia Park, Kankarbagh, Patna, Bihar 800020</t>
  </si>
  <si>
    <t>+91 92638 99122</t>
  </si>
  <si>
    <t>Infinity Cafe</t>
  </si>
  <si>
    <t>Cafe</t>
  </si>
  <si>
    <t>16th floor, Biscomaun Bhawan, West Gandhi Maidan, Patna, Bihar 800001</t>
  </si>
  <si>
    <t>+91 99343 04634</t>
  </si>
  <si>
    <t>5:00 PM – 2:00 AM</t>
  </si>
  <si>
    <t>Mood Light Cafe</t>
  </si>
  <si>
    <t>9th floor, SKU Centre, Boring Rd, Anandpuri, Patna, Bihar 800001</t>
  </si>
  <si>
    <t>+91 74889 80964</t>
  </si>
  <si>
    <t>1:00 PM – 3:00 AM</t>
  </si>
  <si>
    <t>The Grind House</t>
  </si>
  <si>
    <t>P C Colony Rd, opp. Patliputra Sports Complex, Kankarbagh, Patna, Bihar 800020</t>
  </si>
  <si>
    <t>+91 95829 80008</t>
  </si>
  <si>
    <t>11:30 AM – 10:30 PM</t>
  </si>
  <si>
    <t>Cafe Hideout (PMCH)</t>
  </si>
  <si>
    <t>Govind Mitra Rd, opp. PMCH, Sabzibagh, Patna, Bihar 800004</t>
  </si>
  <si>
    <t>+91 91558 94428</t>
  </si>
  <si>
    <t>10:00 AM – 4:00 AM</t>
  </si>
  <si>
    <t>The Atmos 3</t>
  </si>
  <si>
    <t>Sri Krishna Puri, Patna, Bihar 800001</t>
  </si>
  <si>
    <t>+91 70332 84888</t>
  </si>
  <si>
    <t>12:00 PM – 12:30 AM</t>
  </si>
  <si>
    <t>Sardar-Ji-Bakhsh Coffee</t>
  </si>
  <si>
    <t>149, Patliputra Colony Rd, Patliputra Colony, Patna, Bihar 800013</t>
  </si>
  <si>
    <t>+91 93042 73848</t>
  </si>
  <si>
    <t>10:00 AM – 2:00 AM</t>
  </si>
  <si>
    <t>Craft Coffee City Centre Mall</t>
  </si>
  <si>
    <t>2nd Floor, Block C, Lodipur, Patna, Bihar 800001</t>
  </si>
  <si>
    <t>+91 80171 77062</t>
  </si>
  <si>
    <t>11:00 AM – 10:00 PM</t>
  </si>
  <si>
    <t>Heden Cafe &amp; Party Club</t>
  </si>
  <si>
    <t>2nd floor, Boring Rd, Sri Krishna Puri, Patna, Bihar 800001</t>
  </si>
  <si>
    <t>+91 92290 56460</t>
  </si>
  <si>
    <t>11:30 AM – 12:00 AM</t>
  </si>
  <si>
    <t>Cafe Hideout (Patliputra Colony)</t>
  </si>
  <si>
    <t>162A, New Patliputra Colony, Patna, Bihar 800013</t>
  </si>
  <si>
    <t>+91 73600 80414</t>
  </si>
  <si>
    <t>11:00 AM – 1:00 AM</t>
  </si>
  <si>
    <t>Hulk Fitness Gym</t>
  </si>
  <si>
    <t>Gym</t>
  </si>
  <si>
    <t>Mithilesh Market, near Ramvilas Chowk, Mithapur, Patna, Bihar 800001</t>
  </si>
  <si>
    <t>+91 79032 08915</t>
  </si>
  <si>
    <t>5:00 AM – 11:00 PM</t>
  </si>
  <si>
    <t>Gym Service Centre Patna</t>
  </si>
  <si>
    <t>New Jaganpura, Ramkrishan Nagar, Patna, Bihar 800027</t>
  </si>
  <si>
    <t>Open 24 hours</t>
  </si>
  <si>
    <t>Cross Fit Studio</t>
  </si>
  <si>
    <t>2nd Floor, 80C, Patliputra Kurji Rd, Patliputra Colony, Patna, Bihar 800013</t>
  </si>
  <si>
    <t>+91 98015 03503</t>
  </si>
  <si>
    <t>5:00 AM – 10:00 PM</t>
  </si>
  <si>
    <t>Muscle's Beach Gym</t>
  </si>
  <si>
    <t>06, Purvi Tej Pratap Nagar Path, Vrindavan Colony, Beur, Patna, Bihar 800032</t>
  </si>
  <si>
    <t>+91 95047 99710</t>
  </si>
  <si>
    <t>Mostly 24 hours</t>
  </si>
  <si>
    <t>Fitness Gallery Gym</t>
  </si>
  <si>
    <t>Maa Kamla Niwash, Dundi Bazar, Ranipur Khidki, Patna, Bihar 800008</t>
  </si>
  <si>
    <t>Patna Gym</t>
  </si>
  <si>
    <t>Keshwar Complex, Saristabad Rd, Chitkohra, Patna, Bihar 800002</t>
  </si>
  <si>
    <t>+91 89862 92566</t>
  </si>
  <si>
    <t>6:00 AM – 10:00 PM</t>
  </si>
  <si>
    <t>Fit Beast Gym</t>
  </si>
  <si>
    <t>South Shivpuri, Rajbansi Nagar, Patna, Bihar 801103</t>
  </si>
  <si>
    <t>+91 70503 83070</t>
  </si>
  <si>
    <t>5:00 AM – 9:00 PM</t>
  </si>
  <si>
    <t>Fit Planet Gym Boring Road</t>
  </si>
  <si>
    <t>4th Floor, Pushpanjali Mall, West Boring Canal Rd, Patna, Bihar 800001</t>
  </si>
  <si>
    <t>+91 77070 02700</t>
  </si>
  <si>
    <t>5:30 AM – 10:00 PM</t>
  </si>
  <si>
    <t>Zenfit Patna</t>
  </si>
  <si>
    <t>Gym (Female/Kids)</t>
  </si>
  <si>
    <t>1st Floor, Santgeet Enclave, opp. S.K. Puri, Kidwaipuri, Patna, Bihar 800001</t>
  </si>
  <si>
    <t>+91 62042 12445</t>
  </si>
  <si>
    <t>6:30 AM – 8:00 PM</t>
  </si>
  <si>
    <t>Fit Galaxy Gym</t>
  </si>
  <si>
    <t>Pillar no 13, Jagat Tower, Jagdeo Path, Rukanpura, Patna, Bihar 800014</t>
  </si>
  <si>
    <t>+91 91100 65567</t>
  </si>
  <si>
    <t>5:30 AM – 11:00 PM</t>
  </si>
  <si>
    <t>HealthBuddy Kiran Prakir Healthcare</t>
  </si>
  <si>
    <t>Medical Store</t>
  </si>
  <si>
    <t>opp. Yamaha Showroom, near Fire Station, Gulzarbagh, Patna, Bihar 800007</t>
  </si>
  <si>
    <t>Open 24 hours (Closed Sun)</t>
  </si>
  <si>
    <t>Health Hub</t>
  </si>
  <si>
    <t>Ashiana-Digha Rd, basement shop, Mahadev Arcade, Indrapuri, Patna, Bihar 800025</t>
  </si>
  <si>
    <t>+91 73668 88855</t>
  </si>
  <si>
    <t>New Raushan Medicals and Surgicals</t>
  </si>
  <si>
    <t>Rajiv Sadan 67E, Rd Number 11F, Rajendra Nagar, Patna, Bihar 800016</t>
  </si>
  <si>
    <t>Buddha Medicals</t>
  </si>
  <si>
    <t>Kali Mandir Rd, K Sector, Kankarbagh, Hanuman Nagar, Patna, Bihar 800026</t>
  </si>
  <si>
    <t>+91 92628 26666</t>
  </si>
  <si>
    <t>Urmila Medical Hall</t>
  </si>
  <si>
    <t>Main Road, Dhira Chak, Anisabad, Patna, Bihar 800014</t>
  </si>
  <si>
    <t>+91 85788 09997</t>
  </si>
  <si>
    <t>8:00 AM – 11:00 PM</t>
  </si>
  <si>
    <t>Low</t>
  </si>
  <si>
    <t>New Patna Medicals</t>
  </si>
  <si>
    <t>Sarraf Market, Govind Mitra Rd, opp. Durga Mandir, Patna, Bihar 800004</t>
  </si>
  <si>
    <t>Emedix Smart Pharmacy</t>
  </si>
  <si>
    <t>Ram Govind Singh Path, Chandmari Rd, Kankarbagh, Patna, Bihar 800020</t>
  </si>
  <si>
    <t>+91 92969 00369</t>
  </si>
  <si>
    <t>9:00 AM – 11:00 PM</t>
  </si>
  <si>
    <t>Riya Medical Hall</t>
  </si>
  <si>
    <t>RK Ave, near Prem Chand Path, Dujra, Rajendra Nagar, Patna, Bihar 800016</t>
  </si>
  <si>
    <t>+91 99392 50484</t>
  </si>
  <si>
    <t>8:00 AM – 12:00 AM</t>
  </si>
  <si>
    <t>Apollo Pharmacy Panchamukhi</t>
  </si>
  <si>
    <t>Tempo Stand Rd, near ICICI Bank, Kankarbagh, Patna, Bihar 800020</t>
  </si>
  <si>
    <t>+91 79 4281 2719</t>
  </si>
  <si>
    <t>7:00 AM – 11:00 PM</t>
  </si>
  <si>
    <t>Sanjay Medical Hall</t>
  </si>
  <si>
    <t>Postal Park, Road No. 2, Budh Nagar, Mithapur, Patna, Bihar 800001</t>
  </si>
  <si>
    <t>+91 88046 63389</t>
  </si>
  <si>
    <t>Count</t>
  </si>
  <si>
    <t>Avg 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</si>
</sst>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rgb="FFFFFFFF"/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16.0"/>
    <col customWidth="1" min="4" max="4" width="45.0"/>
    <col customWidth="1" min="5" max="5" width="16.0"/>
    <col customWidth="1" min="6" max="7" width="10.0"/>
    <col customWidth="1" min="8" max="8" width="12.0"/>
    <col customWidth="1" min="9" max="9" width="22.0"/>
    <col customWidth="1" min="10" max="10" width="16.0"/>
    <col customWidth="1" min="1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4.6</v>
      </c>
      <c r="G2" s="2">
        <v>3527.0</v>
      </c>
      <c r="H2" s="2">
        <v>2.0</v>
      </c>
      <c r="I2" s="2" t="s">
        <v>15</v>
      </c>
      <c r="J2" s="3" t="s">
        <v>16</v>
      </c>
      <c r="K2" s="2" t="s">
        <v>17</v>
      </c>
    </row>
    <row r="3">
      <c r="A3" s="2">
        <v>2.0</v>
      </c>
      <c r="B3" s="2" t="s">
        <v>18</v>
      </c>
      <c r="C3" s="2" t="s">
        <v>12</v>
      </c>
      <c r="D3" s="2" t="s">
        <v>19</v>
      </c>
      <c r="E3" s="2" t="s">
        <v>20</v>
      </c>
      <c r="F3" s="2">
        <v>4.7</v>
      </c>
      <c r="G3" s="2">
        <v>1692.0</v>
      </c>
      <c r="H3" s="3">
        <v>2.0</v>
      </c>
      <c r="I3" s="2" t="s">
        <v>21</v>
      </c>
      <c r="J3" s="3" t="s">
        <v>16</v>
      </c>
      <c r="K3" s="2" t="s">
        <v>17</v>
      </c>
    </row>
    <row r="4">
      <c r="A4" s="2">
        <v>3.0</v>
      </c>
      <c r="B4" s="2" t="s">
        <v>22</v>
      </c>
      <c r="C4" s="2" t="s">
        <v>12</v>
      </c>
      <c r="D4" s="2" t="s">
        <v>23</v>
      </c>
      <c r="E4" s="2" t="s">
        <v>24</v>
      </c>
      <c r="F4" s="2">
        <v>4.5</v>
      </c>
      <c r="G4" s="2">
        <v>1574.0</v>
      </c>
      <c r="H4" s="3">
        <v>3.0</v>
      </c>
      <c r="I4" s="2" t="s">
        <v>25</v>
      </c>
      <c r="J4" s="3" t="s">
        <v>26</v>
      </c>
      <c r="K4" s="2" t="s">
        <v>17</v>
      </c>
    </row>
    <row r="5">
      <c r="A5" s="2">
        <v>4.0</v>
      </c>
      <c r="B5" s="2" t="s">
        <v>27</v>
      </c>
      <c r="C5" s="2" t="s">
        <v>12</v>
      </c>
      <c r="D5" s="2" t="s">
        <v>28</v>
      </c>
      <c r="E5" s="2" t="s">
        <v>29</v>
      </c>
      <c r="F5" s="2">
        <v>4.7</v>
      </c>
      <c r="G5" s="2">
        <v>1689.0</v>
      </c>
      <c r="H5" s="3">
        <v>3.0</v>
      </c>
      <c r="I5" s="2" t="s">
        <v>21</v>
      </c>
      <c r="J5" s="3" t="s">
        <v>16</v>
      </c>
      <c r="K5" s="2" t="s">
        <v>17</v>
      </c>
    </row>
    <row r="6">
      <c r="A6" s="2">
        <v>5.0</v>
      </c>
      <c r="B6" s="2" t="s">
        <v>30</v>
      </c>
      <c r="C6" s="2" t="s">
        <v>12</v>
      </c>
      <c r="D6" s="2" t="s">
        <v>31</v>
      </c>
      <c r="E6" s="2" t="s">
        <v>32</v>
      </c>
      <c r="F6" s="2">
        <v>4.2</v>
      </c>
      <c r="G6" s="2">
        <v>12320.0</v>
      </c>
      <c r="H6" s="3">
        <v>3.0</v>
      </c>
      <c r="I6" s="2" t="s">
        <v>33</v>
      </c>
      <c r="J6" s="3" t="s">
        <v>34</v>
      </c>
      <c r="K6" s="2" t="s">
        <v>35</v>
      </c>
    </row>
    <row r="7">
      <c r="A7" s="2">
        <v>6.0</v>
      </c>
      <c r="B7" s="2" t="s">
        <v>36</v>
      </c>
      <c r="C7" s="2" t="s">
        <v>12</v>
      </c>
      <c r="D7" s="2" t="s">
        <v>37</v>
      </c>
      <c r="E7" s="2" t="s">
        <v>38</v>
      </c>
      <c r="F7" s="2">
        <v>4.6</v>
      </c>
      <c r="G7" s="2">
        <v>1651.0</v>
      </c>
      <c r="H7" s="3">
        <v>3.0</v>
      </c>
      <c r="I7" s="2" t="s">
        <v>39</v>
      </c>
      <c r="J7" s="3" t="s">
        <v>34</v>
      </c>
      <c r="K7" s="2" t="s">
        <v>17</v>
      </c>
    </row>
    <row r="8">
      <c r="A8" s="2">
        <v>7.0</v>
      </c>
      <c r="B8" s="2" t="s">
        <v>40</v>
      </c>
      <c r="C8" s="2" t="s">
        <v>12</v>
      </c>
      <c r="D8" s="2" t="s">
        <v>41</v>
      </c>
      <c r="E8" s="2" t="s">
        <v>42</v>
      </c>
      <c r="F8" s="2">
        <v>4.5</v>
      </c>
      <c r="G8" s="2">
        <v>1022.0</v>
      </c>
      <c r="H8" s="3">
        <v>1.0</v>
      </c>
      <c r="I8" s="2" t="s">
        <v>21</v>
      </c>
      <c r="J8" s="3" t="s">
        <v>16</v>
      </c>
      <c r="K8" s="2" t="s">
        <v>17</v>
      </c>
    </row>
    <row r="9">
      <c r="A9" s="2">
        <v>8.0</v>
      </c>
      <c r="B9" s="2" t="s">
        <v>43</v>
      </c>
      <c r="C9" s="2" t="s">
        <v>12</v>
      </c>
      <c r="D9" s="2" t="s">
        <v>44</v>
      </c>
      <c r="E9" s="2" t="s">
        <v>45</v>
      </c>
      <c r="F9" s="2">
        <v>4.4</v>
      </c>
      <c r="G9" s="2">
        <v>2545.0</v>
      </c>
      <c r="H9" s="3">
        <v>3.0</v>
      </c>
      <c r="I9" s="2" t="s">
        <v>39</v>
      </c>
      <c r="J9" s="3" t="s">
        <v>16</v>
      </c>
      <c r="K9" s="2" t="s">
        <v>35</v>
      </c>
    </row>
    <row r="10">
      <c r="A10" s="2">
        <v>9.0</v>
      </c>
      <c r="B10" s="2" t="s">
        <v>46</v>
      </c>
      <c r="C10" s="3" t="s">
        <v>12</v>
      </c>
      <c r="D10" s="2" t="s">
        <v>47</v>
      </c>
      <c r="E10" s="2" t="s">
        <v>48</v>
      </c>
      <c r="F10" s="2">
        <v>4.5</v>
      </c>
      <c r="G10" s="2">
        <v>7491.0</v>
      </c>
      <c r="H10" s="2">
        <v>2.0</v>
      </c>
      <c r="I10" s="2" t="s">
        <v>49</v>
      </c>
      <c r="J10" s="3" t="s">
        <v>34</v>
      </c>
      <c r="K10" s="2" t="s">
        <v>17</v>
      </c>
    </row>
    <row r="11">
      <c r="A11" s="2">
        <v>10.0</v>
      </c>
      <c r="B11" s="2" t="s">
        <v>50</v>
      </c>
      <c r="C11" s="2" t="s">
        <v>12</v>
      </c>
      <c r="D11" s="2" t="s">
        <v>51</v>
      </c>
      <c r="E11" s="2" t="s">
        <v>52</v>
      </c>
      <c r="F11" s="2">
        <v>4.7</v>
      </c>
      <c r="G11" s="2">
        <v>4049.0</v>
      </c>
      <c r="H11" s="2">
        <v>2.0</v>
      </c>
      <c r="I11" s="2" t="s">
        <v>21</v>
      </c>
      <c r="J11" s="3" t="s">
        <v>16</v>
      </c>
      <c r="K11" s="2" t="s">
        <v>17</v>
      </c>
    </row>
    <row r="12">
      <c r="A12" s="2">
        <v>11.0</v>
      </c>
      <c r="B12" s="2" t="s">
        <v>53</v>
      </c>
      <c r="C12" s="2" t="s">
        <v>54</v>
      </c>
      <c r="D12" s="2" t="s">
        <v>55</v>
      </c>
      <c r="E12" s="2" t="s">
        <v>56</v>
      </c>
      <c r="F12" s="2">
        <v>4.6</v>
      </c>
      <c r="G12" s="2">
        <v>2630.0</v>
      </c>
      <c r="H12" s="3">
        <v>3.0</v>
      </c>
      <c r="I12" s="2" t="s">
        <v>57</v>
      </c>
      <c r="J12" s="3" t="s">
        <v>16</v>
      </c>
      <c r="K12" s="2" t="s">
        <v>17</v>
      </c>
    </row>
    <row r="13">
      <c r="A13" s="2">
        <v>12.0</v>
      </c>
      <c r="B13" s="2" t="s">
        <v>58</v>
      </c>
      <c r="C13" s="2" t="s">
        <v>54</v>
      </c>
      <c r="D13" s="2" t="s">
        <v>59</v>
      </c>
      <c r="E13" s="2" t="s">
        <v>60</v>
      </c>
      <c r="F13" s="2">
        <v>4.6</v>
      </c>
      <c r="G13" s="2">
        <v>795.0</v>
      </c>
      <c r="H13" s="3">
        <v>3.0</v>
      </c>
      <c r="I13" s="2" t="s">
        <v>61</v>
      </c>
      <c r="J13" s="3" t="s">
        <v>34</v>
      </c>
      <c r="K13" s="2" t="s">
        <v>17</v>
      </c>
    </row>
    <row r="14">
      <c r="A14" s="2">
        <v>13.0</v>
      </c>
      <c r="B14" s="2" t="s">
        <v>62</v>
      </c>
      <c r="C14" s="2" t="s">
        <v>54</v>
      </c>
      <c r="D14" s="2" t="s">
        <v>63</v>
      </c>
      <c r="E14" s="2" t="s">
        <v>64</v>
      </c>
      <c r="F14" s="2">
        <v>4.9</v>
      </c>
      <c r="G14" s="2">
        <v>1248.0</v>
      </c>
      <c r="H14" s="3">
        <v>2.0</v>
      </c>
      <c r="I14" s="2" t="s">
        <v>65</v>
      </c>
      <c r="J14" s="3" t="s">
        <v>16</v>
      </c>
      <c r="K14" s="2" t="s">
        <v>17</v>
      </c>
    </row>
    <row r="15">
      <c r="A15" s="2">
        <v>14.0</v>
      </c>
      <c r="B15" s="2" t="s">
        <v>66</v>
      </c>
      <c r="C15" s="2" t="s">
        <v>54</v>
      </c>
      <c r="D15" s="2" t="s">
        <v>67</v>
      </c>
      <c r="E15" s="2" t="s">
        <v>68</v>
      </c>
      <c r="F15" s="2">
        <v>4.9</v>
      </c>
      <c r="G15" s="2">
        <v>1297.0</v>
      </c>
      <c r="H15" s="3">
        <v>3.0</v>
      </c>
      <c r="I15" s="2" t="s">
        <v>69</v>
      </c>
      <c r="J15" s="3" t="s">
        <v>16</v>
      </c>
      <c r="K15" s="2" t="s">
        <v>17</v>
      </c>
    </row>
    <row r="16">
      <c r="A16" s="2">
        <v>15.0</v>
      </c>
      <c r="B16" s="2" t="s">
        <v>70</v>
      </c>
      <c r="C16" s="2" t="s">
        <v>54</v>
      </c>
      <c r="D16" s="2" t="s">
        <v>71</v>
      </c>
      <c r="E16" s="2" t="s">
        <v>72</v>
      </c>
      <c r="F16" s="2">
        <v>4.8</v>
      </c>
      <c r="G16" s="2">
        <v>2113.0</v>
      </c>
      <c r="H16" s="3">
        <v>3.0</v>
      </c>
      <c r="I16" s="2" t="s">
        <v>73</v>
      </c>
      <c r="J16" s="3" t="s">
        <v>34</v>
      </c>
      <c r="K16" s="2" t="s">
        <v>17</v>
      </c>
    </row>
    <row r="17">
      <c r="A17" s="2">
        <v>16.0</v>
      </c>
      <c r="B17" s="2" t="s">
        <v>74</v>
      </c>
      <c r="C17" s="2" t="s">
        <v>54</v>
      </c>
      <c r="D17" s="2" t="s">
        <v>75</v>
      </c>
      <c r="E17" s="2" t="s">
        <v>76</v>
      </c>
      <c r="F17" s="2">
        <v>4.9</v>
      </c>
      <c r="G17" s="2">
        <v>979.0</v>
      </c>
      <c r="H17" s="3">
        <v>2.0</v>
      </c>
      <c r="I17" s="2" t="s">
        <v>77</v>
      </c>
      <c r="J17" s="3" t="s">
        <v>16</v>
      </c>
      <c r="K17" s="2" t="s">
        <v>17</v>
      </c>
    </row>
    <row r="18">
      <c r="A18" s="2">
        <v>17.0</v>
      </c>
      <c r="B18" s="2" t="s">
        <v>78</v>
      </c>
      <c r="C18" s="2" t="s">
        <v>54</v>
      </c>
      <c r="D18" s="2" t="s">
        <v>79</v>
      </c>
      <c r="E18" s="2" t="s">
        <v>80</v>
      </c>
      <c r="F18" s="2">
        <v>4.9</v>
      </c>
      <c r="G18" s="2">
        <v>1030.0</v>
      </c>
      <c r="H18" s="3">
        <v>3.0</v>
      </c>
      <c r="I18" s="2" t="s">
        <v>81</v>
      </c>
      <c r="J18" s="3" t="s">
        <v>34</v>
      </c>
      <c r="K18" s="2" t="s">
        <v>17</v>
      </c>
    </row>
    <row r="19">
      <c r="A19" s="2">
        <v>18.0</v>
      </c>
      <c r="B19" s="2" t="s">
        <v>82</v>
      </c>
      <c r="C19" s="2" t="s">
        <v>54</v>
      </c>
      <c r="D19" s="2" t="s">
        <v>83</v>
      </c>
      <c r="E19" s="2" t="s">
        <v>84</v>
      </c>
      <c r="F19" s="2">
        <v>4.9</v>
      </c>
      <c r="G19" s="2">
        <v>642.0</v>
      </c>
      <c r="H19" s="3">
        <v>3.0</v>
      </c>
      <c r="I19" s="2" t="s">
        <v>85</v>
      </c>
      <c r="J19" s="3" t="s">
        <v>34</v>
      </c>
      <c r="K19" s="2" t="s">
        <v>17</v>
      </c>
    </row>
    <row r="20">
      <c r="A20" s="2">
        <v>19.0</v>
      </c>
      <c r="B20" s="2" t="s">
        <v>86</v>
      </c>
      <c r="C20" s="2" t="s">
        <v>54</v>
      </c>
      <c r="D20" s="2" t="s">
        <v>87</v>
      </c>
      <c r="E20" s="2" t="s">
        <v>88</v>
      </c>
      <c r="F20" s="2">
        <v>4.7</v>
      </c>
      <c r="G20" s="2">
        <v>575.0</v>
      </c>
      <c r="H20" s="3">
        <v>4.0</v>
      </c>
      <c r="I20" s="2" t="s">
        <v>73</v>
      </c>
      <c r="J20" s="3" t="s">
        <v>34</v>
      </c>
      <c r="K20" s="2" t="s">
        <v>17</v>
      </c>
    </row>
    <row r="21" ht="15.75" customHeight="1">
      <c r="A21" s="2">
        <v>20.0</v>
      </c>
      <c r="B21" s="2" t="s">
        <v>89</v>
      </c>
      <c r="C21" s="2" t="s">
        <v>54</v>
      </c>
      <c r="D21" s="2" t="s">
        <v>90</v>
      </c>
      <c r="E21" s="2" t="s">
        <v>91</v>
      </c>
      <c r="F21" s="2">
        <v>4.9</v>
      </c>
      <c r="G21" s="2">
        <v>440.0</v>
      </c>
      <c r="H21" s="3">
        <v>4.0</v>
      </c>
      <c r="I21" s="2" t="s">
        <v>73</v>
      </c>
      <c r="J21" s="3" t="s">
        <v>34</v>
      </c>
      <c r="K21" s="2" t="s">
        <v>17</v>
      </c>
    </row>
    <row r="22" ht="15.75" customHeight="1">
      <c r="A22" s="2">
        <v>21.0</v>
      </c>
      <c r="B22" s="2" t="s">
        <v>92</v>
      </c>
      <c r="C22" s="2" t="s">
        <v>93</v>
      </c>
      <c r="D22" s="2" t="s">
        <v>94</v>
      </c>
      <c r="E22" s="2" t="s">
        <v>95</v>
      </c>
      <c r="F22" s="2">
        <v>4.4</v>
      </c>
      <c r="G22" s="2">
        <v>876.0</v>
      </c>
      <c r="H22" s="3">
        <v>2.0</v>
      </c>
      <c r="I22" s="2" t="s">
        <v>96</v>
      </c>
      <c r="J22" s="3" t="s">
        <v>16</v>
      </c>
      <c r="K22" s="2" t="s">
        <v>35</v>
      </c>
    </row>
    <row r="23" ht="15.75" customHeight="1">
      <c r="A23" s="2">
        <v>22.0</v>
      </c>
      <c r="B23" s="2" t="s">
        <v>97</v>
      </c>
      <c r="C23" s="2" t="s">
        <v>93</v>
      </c>
      <c r="D23" s="2" t="s">
        <v>98</v>
      </c>
      <c r="E23" s="2" t="s">
        <v>99</v>
      </c>
      <c r="F23" s="2">
        <v>4.6</v>
      </c>
      <c r="G23" s="2">
        <v>1109.0</v>
      </c>
      <c r="H23" s="2">
        <v>2.0</v>
      </c>
      <c r="I23" s="2" t="s">
        <v>100</v>
      </c>
      <c r="J23" s="3" t="s">
        <v>16</v>
      </c>
      <c r="K23" s="2" t="s">
        <v>17</v>
      </c>
    </row>
    <row r="24" ht="15.75" customHeight="1">
      <c r="A24" s="2">
        <v>23.0</v>
      </c>
      <c r="B24" s="2" t="s">
        <v>101</v>
      </c>
      <c r="C24" s="2" t="s">
        <v>93</v>
      </c>
      <c r="D24" s="2" t="s">
        <v>102</v>
      </c>
      <c r="E24" s="2" t="s">
        <v>103</v>
      </c>
      <c r="F24" s="2">
        <v>4.3</v>
      </c>
      <c r="G24" s="2">
        <v>1651.0</v>
      </c>
      <c r="H24" s="2">
        <v>2.0</v>
      </c>
      <c r="I24" s="2" t="s">
        <v>104</v>
      </c>
      <c r="J24" s="3" t="s">
        <v>16</v>
      </c>
      <c r="K24" s="2" t="s">
        <v>35</v>
      </c>
    </row>
    <row r="25" ht="15.75" customHeight="1">
      <c r="A25" s="2">
        <v>24.0</v>
      </c>
      <c r="B25" s="2" t="s">
        <v>105</v>
      </c>
      <c r="C25" s="2" t="s">
        <v>93</v>
      </c>
      <c r="D25" s="2" t="s">
        <v>106</v>
      </c>
      <c r="E25" s="2" t="s">
        <v>107</v>
      </c>
      <c r="F25" s="2">
        <v>4.7</v>
      </c>
      <c r="G25" s="2">
        <v>1493.0</v>
      </c>
      <c r="H25" s="3">
        <v>2.0</v>
      </c>
      <c r="I25" s="2" t="s">
        <v>108</v>
      </c>
      <c r="J25" s="3" t="s">
        <v>16</v>
      </c>
      <c r="K25" s="2" t="s">
        <v>17</v>
      </c>
    </row>
    <row r="26" ht="15.75" customHeight="1">
      <c r="A26" s="2">
        <v>25.0</v>
      </c>
      <c r="B26" s="2" t="s">
        <v>109</v>
      </c>
      <c r="C26" s="2" t="s">
        <v>93</v>
      </c>
      <c r="D26" s="2" t="s">
        <v>110</v>
      </c>
      <c r="E26" s="2" t="s">
        <v>111</v>
      </c>
      <c r="F26" s="2">
        <v>4.5</v>
      </c>
      <c r="G26" s="2">
        <v>506.0</v>
      </c>
      <c r="H26" s="3">
        <v>3.0</v>
      </c>
      <c r="I26" s="2" t="s">
        <v>112</v>
      </c>
      <c r="J26" s="3" t="s">
        <v>16</v>
      </c>
      <c r="K26" s="2" t="s">
        <v>17</v>
      </c>
    </row>
    <row r="27" ht="15.75" customHeight="1">
      <c r="A27" s="2">
        <v>26.0</v>
      </c>
      <c r="B27" s="2" t="s">
        <v>113</v>
      </c>
      <c r="C27" s="2" t="s">
        <v>93</v>
      </c>
      <c r="D27" s="2" t="s">
        <v>114</v>
      </c>
      <c r="E27" s="2" t="s">
        <v>115</v>
      </c>
      <c r="F27" s="2">
        <v>4.5</v>
      </c>
      <c r="G27" s="2">
        <v>1001.0</v>
      </c>
      <c r="H27" s="3">
        <v>2.0</v>
      </c>
      <c r="I27" s="2" t="s">
        <v>116</v>
      </c>
      <c r="J27" s="3" t="s">
        <v>34</v>
      </c>
      <c r="K27" s="2" t="s">
        <v>17</v>
      </c>
    </row>
    <row r="28" ht="15.75" customHeight="1">
      <c r="A28" s="2">
        <v>27.0</v>
      </c>
      <c r="B28" s="2" t="s">
        <v>117</v>
      </c>
      <c r="C28" s="2" t="s">
        <v>93</v>
      </c>
      <c r="D28" s="2" t="s">
        <v>118</v>
      </c>
      <c r="E28" s="2" t="s">
        <v>119</v>
      </c>
      <c r="F28" s="2">
        <v>4.6</v>
      </c>
      <c r="G28" s="2">
        <v>408.0</v>
      </c>
      <c r="H28" s="3">
        <v>3.0</v>
      </c>
      <c r="I28" s="2" t="s">
        <v>120</v>
      </c>
      <c r="J28" s="3" t="s">
        <v>34</v>
      </c>
      <c r="K28" s="2" t="s">
        <v>17</v>
      </c>
    </row>
    <row r="29" ht="15.75" customHeight="1">
      <c r="A29" s="2">
        <v>28.0</v>
      </c>
      <c r="B29" s="2" t="s">
        <v>121</v>
      </c>
      <c r="C29" s="2" t="s">
        <v>93</v>
      </c>
      <c r="D29" s="2" t="s">
        <v>122</v>
      </c>
      <c r="E29" s="2" t="s">
        <v>123</v>
      </c>
      <c r="F29" s="2">
        <v>4.6</v>
      </c>
      <c r="G29" s="2">
        <v>1132.0</v>
      </c>
      <c r="H29" s="3">
        <v>3.0</v>
      </c>
      <c r="I29" s="2" t="s">
        <v>124</v>
      </c>
      <c r="J29" s="3" t="s">
        <v>16</v>
      </c>
      <c r="K29" s="2" t="s">
        <v>17</v>
      </c>
    </row>
    <row r="30" ht="15.75" customHeight="1">
      <c r="A30" s="2">
        <v>29.0</v>
      </c>
      <c r="B30" s="2" t="s">
        <v>125</v>
      </c>
      <c r="C30" s="2" t="s">
        <v>93</v>
      </c>
      <c r="D30" s="2" t="s">
        <v>126</v>
      </c>
      <c r="E30" s="2" t="s">
        <v>127</v>
      </c>
      <c r="F30" s="2">
        <v>4.5</v>
      </c>
      <c r="G30" s="2">
        <v>5534.0</v>
      </c>
      <c r="H30" s="2">
        <v>2.0</v>
      </c>
      <c r="I30" s="2" t="s">
        <v>128</v>
      </c>
      <c r="J30" s="3" t="s">
        <v>16</v>
      </c>
      <c r="K30" s="2" t="s">
        <v>17</v>
      </c>
    </row>
    <row r="31" ht="15.75" customHeight="1">
      <c r="A31" s="2">
        <v>30.0</v>
      </c>
      <c r="B31" s="2" t="s">
        <v>129</v>
      </c>
      <c r="C31" s="2" t="s">
        <v>130</v>
      </c>
      <c r="D31" s="2" t="s">
        <v>131</v>
      </c>
      <c r="E31" s="2" t="s">
        <v>132</v>
      </c>
      <c r="F31" s="2">
        <v>4.9</v>
      </c>
      <c r="G31" s="2">
        <v>1419.0</v>
      </c>
      <c r="H31" s="3">
        <v>2.0</v>
      </c>
      <c r="I31" s="2" t="s">
        <v>133</v>
      </c>
      <c r="J31" s="3" t="s">
        <v>16</v>
      </c>
      <c r="K31" s="2" t="s">
        <v>17</v>
      </c>
    </row>
    <row r="32" ht="15.75" customHeight="1">
      <c r="A32" s="2">
        <v>31.0</v>
      </c>
      <c r="B32" s="2" t="s">
        <v>134</v>
      </c>
      <c r="C32" s="2" t="s">
        <v>130</v>
      </c>
      <c r="D32" s="2" t="s">
        <v>135</v>
      </c>
      <c r="E32" s="2" t="s">
        <v>42</v>
      </c>
      <c r="F32" s="2">
        <v>5.0</v>
      </c>
      <c r="G32" s="2">
        <v>43.0</v>
      </c>
      <c r="H32" s="3">
        <v>2.0</v>
      </c>
      <c r="I32" s="2" t="s">
        <v>136</v>
      </c>
      <c r="J32" s="3" t="s">
        <v>16</v>
      </c>
      <c r="K32" s="2" t="s">
        <v>35</v>
      </c>
    </row>
    <row r="33" ht="15.75" customHeight="1">
      <c r="A33" s="2">
        <v>32.0</v>
      </c>
      <c r="B33" s="2" t="s">
        <v>137</v>
      </c>
      <c r="C33" s="2" t="s">
        <v>130</v>
      </c>
      <c r="D33" s="2" t="s">
        <v>138</v>
      </c>
      <c r="E33" s="2" t="s">
        <v>139</v>
      </c>
      <c r="F33" s="2">
        <v>4.8</v>
      </c>
      <c r="G33" s="2">
        <v>544.0</v>
      </c>
      <c r="H33" s="3">
        <v>3.0</v>
      </c>
      <c r="I33" s="2" t="s">
        <v>140</v>
      </c>
      <c r="J33" s="3" t="s">
        <v>34</v>
      </c>
      <c r="K33" s="2" t="s">
        <v>17</v>
      </c>
    </row>
    <row r="34" ht="15.75" customHeight="1">
      <c r="A34" s="2">
        <v>33.0</v>
      </c>
      <c r="B34" s="2" t="s">
        <v>141</v>
      </c>
      <c r="C34" s="2" t="s">
        <v>130</v>
      </c>
      <c r="D34" s="2" t="s">
        <v>142</v>
      </c>
      <c r="E34" s="2" t="s">
        <v>143</v>
      </c>
      <c r="F34" s="2">
        <v>5.0</v>
      </c>
      <c r="G34" s="2">
        <v>256.0</v>
      </c>
      <c r="H34" s="3">
        <v>2.0</v>
      </c>
      <c r="I34" s="2" t="s">
        <v>144</v>
      </c>
      <c r="J34" s="3" t="s">
        <v>16</v>
      </c>
      <c r="K34" s="2" t="s">
        <v>17</v>
      </c>
    </row>
    <row r="35" ht="15.75" customHeight="1">
      <c r="A35" s="2">
        <v>34.0</v>
      </c>
      <c r="B35" s="2" t="s">
        <v>145</v>
      </c>
      <c r="C35" s="2" t="s">
        <v>130</v>
      </c>
      <c r="D35" s="2" t="s">
        <v>146</v>
      </c>
      <c r="E35" s="2" t="s">
        <v>42</v>
      </c>
      <c r="F35" s="2">
        <v>4.8</v>
      </c>
      <c r="G35" s="2">
        <v>1035.0</v>
      </c>
      <c r="H35" s="3">
        <v>2.0</v>
      </c>
      <c r="I35" s="2" t="s">
        <v>140</v>
      </c>
      <c r="J35" s="3" t="s">
        <v>16</v>
      </c>
      <c r="K35" s="2" t="s">
        <v>17</v>
      </c>
    </row>
    <row r="36" ht="15.75" customHeight="1">
      <c r="A36" s="2">
        <v>35.0</v>
      </c>
      <c r="B36" s="2" t="s">
        <v>147</v>
      </c>
      <c r="C36" s="2" t="s">
        <v>130</v>
      </c>
      <c r="D36" s="2" t="s">
        <v>148</v>
      </c>
      <c r="E36" s="2" t="s">
        <v>149</v>
      </c>
      <c r="F36" s="2">
        <v>4.7</v>
      </c>
      <c r="G36" s="2">
        <v>253.0</v>
      </c>
      <c r="H36" s="3">
        <v>2.0</v>
      </c>
      <c r="I36" s="2" t="s">
        <v>150</v>
      </c>
      <c r="J36" s="3" t="s">
        <v>16</v>
      </c>
      <c r="K36" s="2" t="s">
        <v>17</v>
      </c>
    </row>
    <row r="37" ht="15.75" customHeight="1">
      <c r="A37" s="2">
        <v>36.0</v>
      </c>
      <c r="B37" s="2" t="s">
        <v>151</v>
      </c>
      <c r="C37" s="2" t="s">
        <v>130</v>
      </c>
      <c r="D37" s="2" t="s">
        <v>152</v>
      </c>
      <c r="E37" s="2" t="s">
        <v>153</v>
      </c>
      <c r="F37" s="2">
        <v>4.9</v>
      </c>
      <c r="G37" s="2">
        <v>226.0</v>
      </c>
      <c r="H37" s="3">
        <v>2.0</v>
      </c>
      <c r="I37" s="2" t="s">
        <v>154</v>
      </c>
      <c r="J37" s="3" t="s">
        <v>16</v>
      </c>
      <c r="K37" s="2" t="s">
        <v>17</v>
      </c>
    </row>
    <row r="38" ht="15.75" customHeight="1">
      <c r="A38" s="2">
        <v>37.0</v>
      </c>
      <c r="B38" s="2" t="s">
        <v>155</v>
      </c>
      <c r="C38" s="2" t="s">
        <v>130</v>
      </c>
      <c r="D38" s="2" t="s">
        <v>156</v>
      </c>
      <c r="E38" s="2" t="s">
        <v>157</v>
      </c>
      <c r="F38" s="2">
        <v>4.5</v>
      </c>
      <c r="G38" s="2">
        <v>327.0</v>
      </c>
      <c r="H38" s="3">
        <v>2.0</v>
      </c>
      <c r="I38" s="2" t="s">
        <v>158</v>
      </c>
      <c r="J38" s="3" t="s">
        <v>34</v>
      </c>
      <c r="K38" s="2" t="s">
        <v>17</v>
      </c>
    </row>
    <row r="39" ht="15.75" customHeight="1">
      <c r="A39" s="2">
        <v>38.0</v>
      </c>
      <c r="B39" s="2" t="s">
        <v>159</v>
      </c>
      <c r="C39" s="2" t="s">
        <v>160</v>
      </c>
      <c r="D39" s="2" t="s">
        <v>161</v>
      </c>
      <c r="E39" s="2" t="s">
        <v>162</v>
      </c>
      <c r="F39" s="2">
        <v>5.0</v>
      </c>
      <c r="G39" s="2">
        <v>39.0</v>
      </c>
      <c r="H39" s="3">
        <v>3.0</v>
      </c>
      <c r="I39" s="2" t="s">
        <v>163</v>
      </c>
      <c r="J39" s="3" t="s">
        <v>16</v>
      </c>
      <c r="K39" s="2" t="s">
        <v>35</v>
      </c>
    </row>
    <row r="40" ht="15.75" customHeight="1">
      <c r="A40" s="2">
        <v>39.0</v>
      </c>
      <c r="B40" s="2" t="s">
        <v>164</v>
      </c>
      <c r="C40" s="2" t="s">
        <v>130</v>
      </c>
      <c r="D40" s="2" t="s">
        <v>165</v>
      </c>
      <c r="E40" s="2" t="s">
        <v>166</v>
      </c>
      <c r="F40" s="2">
        <v>4.8</v>
      </c>
      <c r="G40" s="2">
        <v>367.0</v>
      </c>
      <c r="H40" s="3">
        <v>2.0</v>
      </c>
      <c r="I40" s="2" t="s">
        <v>167</v>
      </c>
      <c r="J40" s="3" t="s">
        <v>16</v>
      </c>
      <c r="K40" s="2" t="s">
        <v>17</v>
      </c>
    </row>
    <row r="41" ht="15.75" customHeight="1">
      <c r="A41" s="2">
        <v>40.0</v>
      </c>
      <c r="B41" s="2" t="s">
        <v>168</v>
      </c>
      <c r="C41" s="2" t="s">
        <v>169</v>
      </c>
      <c r="D41" s="2" t="s">
        <v>170</v>
      </c>
      <c r="E41" s="2" t="s">
        <v>42</v>
      </c>
      <c r="F41" s="2">
        <v>4.7</v>
      </c>
      <c r="G41" s="2">
        <v>17.0</v>
      </c>
      <c r="H41" s="3">
        <v>2.0</v>
      </c>
      <c r="I41" s="2" t="s">
        <v>171</v>
      </c>
      <c r="J41" s="3" t="s">
        <v>16</v>
      </c>
      <c r="K41" s="2" t="s">
        <v>35</v>
      </c>
    </row>
    <row r="42" ht="15.75" customHeight="1">
      <c r="A42" s="2">
        <v>41.0</v>
      </c>
      <c r="B42" s="2" t="s">
        <v>172</v>
      </c>
      <c r="C42" s="2" t="s">
        <v>169</v>
      </c>
      <c r="D42" s="2" t="s">
        <v>173</v>
      </c>
      <c r="E42" s="2" t="s">
        <v>174</v>
      </c>
      <c r="F42" s="2">
        <v>4.7</v>
      </c>
      <c r="G42" s="2">
        <v>330.0</v>
      </c>
      <c r="H42" s="3">
        <v>2.0</v>
      </c>
      <c r="I42" s="2" t="s">
        <v>136</v>
      </c>
      <c r="J42" s="3" t="s">
        <v>16</v>
      </c>
      <c r="K42" s="2" t="s">
        <v>17</v>
      </c>
    </row>
    <row r="43" ht="15.75" customHeight="1">
      <c r="A43" s="2">
        <v>42.0</v>
      </c>
      <c r="B43" s="2" t="s">
        <v>175</v>
      </c>
      <c r="C43" s="2" t="s">
        <v>169</v>
      </c>
      <c r="D43" s="2" t="s">
        <v>176</v>
      </c>
      <c r="E43" s="2" t="s">
        <v>42</v>
      </c>
      <c r="F43" s="2">
        <v>4.9</v>
      </c>
      <c r="G43" s="2">
        <v>82.0</v>
      </c>
      <c r="H43" s="3">
        <v>2.0</v>
      </c>
      <c r="I43" s="2" t="s">
        <v>136</v>
      </c>
      <c r="J43" s="3" t="s">
        <v>16</v>
      </c>
      <c r="K43" s="2" t="s">
        <v>35</v>
      </c>
    </row>
    <row r="44" ht="15.75" customHeight="1">
      <c r="A44" s="2">
        <v>43.0</v>
      </c>
      <c r="B44" s="2" t="s">
        <v>177</v>
      </c>
      <c r="C44" s="2" t="s">
        <v>169</v>
      </c>
      <c r="D44" s="2" t="s">
        <v>178</v>
      </c>
      <c r="E44" s="2" t="s">
        <v>179</v>
      </c>
      <c r="F44" s="2">
        <v>4.4</v>
      </c>
      <c r="G44" s="2">
        <v>46.0</v>
      </c>
      <c r="H44" s="3">
        <v>3.0</v>
      </c>
      <c r="I44" s="2" t="s">
        <v>136</v>
      </c>
      <c r="J44" s="3" t="s">
        <v>16</v>
      </c>
      <c r="K44" s="2" t="s">
        <v>35</v>
      </c>
    </row>
    <row r="45" ht="15.75" customHeight="1">
      <c r="A45" s="2">
        <v>44.0</v>
      </c>
      <c r="B45" s="2" t="s">
        <v>180</v>
      </c>
      <c r="C45" s="2" t="s">
        <v>169</v>
      </c>
      <c r="D45" s="2" t="s">
        <v>181</v>
      </c>
      <c r="E45" s="2" t="s">
        <v>182</v>
      </c>
      <c r="F45" s="2">
        <v>3.9</v>
      </c>
      <c r="G45" s="2">
        <v>44.0</v>
      </c>
      <c r="H45" s="3">
        <v>2.0</v>
      </c>
      <c r="I45" s="2" t="s">
        <v>183</v>
      </c>
      <c r="J45" s="3" t="s">
        <v>16</v>
      </c>
      <c r="K45" s="2" t="s">
        <v>184</v>
      </c>
    </row>
    <row r="46" ht="15.75" customHeight="1">
      <c r="A46" s="2">
        <v>45.0</v>
      </c>
      <c r="B46" s="2" t="s">
        <v>185</v>
      </c>
      <c r="C46" s="2" t="s">
        <v>169</v>
      </c>
      <c r="D46" s="2" t="s">
        <v>186</v>
      </c>
      <c r="E46" s="2" t="s">
        <v>42</v>
      </c>
      <c r="F46" s="2">
        <v>5.0</v>
      </c>
      <c r="G46" s="2">
        <v>3.0</v>
      </c>
      <c r="H46" s="3">
        <v>2.0</v>
      </c>
      <c r="I46" s="2" t="s">
        <v>136</v>
      </c>
      <c r="J46" s="3" t="s">
        <v>16</v>
      </c>
      <c r="K46" s="2" t="s">
        <v>35</v>
      </c>
    </row>
    <row r="47" ht="15.75" customHeight="1">
      <c r="A47" s="2">
        <v>46.0</v>
      </c>
      <c r="B47" s="2" t="s">
        <v>187</v>
      </c>
      <c r="C47" s="2" t="s">
        <v>169</v>
      </c>
      <c r="D47" s="2" t="s">
        <v>188</v>
      </c>
      <c r="E47" s="2" t="s">
        <v>189</v>
      </c>
      <c r="F47" s="2">
        <v>5.0</v>
      </c>
      <c r="G47" s="2">
        <v>10.0</v>
      </c>
      <c r="H47" s="3">
        <v>2.0</v>
      </c>
      <c r="I47" s="2" t="s">
        <v>190</v>
      </c>
      <c r="J47" s="3" t="s">
        <v>34</v>
      </c>
      <c r="K47" s="2" t="s">
        <v>35</v>
      </c>
    </row>
    <row r="48" ht="15.75" customHeight="1">
      <c r="A48" s="2">
        <v>47.0</v>
      </c>
      <c r="B48" s="2" t="s">
        <v>191</v>
      </c>
      <c r="C48" s="2" t="s">
        <v>169</v>
      </c>
      <c r="D48" s="2" t="s">
        <v>192</v>
      </c>
      <c r="E48" s="2" t="s">
        <v>193</v>
      </c>
      <c r="F48" s="2">
        <v>4.8</v>
      </c>
      <c r="G48" s="2">
        <v>8.0</v>
      </c>
      <c r="H48" s="3">
        <v>3.0</v>
      </c>
      <c r="I48" s="2" t="s">
        <v>194</v>
      </c>
      <c r="J48" s="3" t="s">
        <v>16</v>
      </c>
      <c r="K48" s="2" t="s">
        <v>35</v>
      </c>
    </row>
    <row r="49" ht="15.75" customHeight="1">
      <c r="A49" s="2">
        <v>48.0</v>
      </c>
      <c r="B49" s="2" t="s">
        <v>195</v>
      </c>
      <c r="C49" s="2" t="s">
        <v>169</v>
      </c>
      <c r="D49" s="2" t="s">
        <v>196</v>
      </c>
      <c r="E49" s="2" t="s">
        <v>197</v>
      </c>
      <c r="F49" s="2">
        <v>3.4</v>
      </c>
      <c r="G49" s="2">
        <v>72.0</v>
      </c>
      <c r="H49" s="3">
        <v>2.0</v>
      </c>
      <c r="I49" s="2" t="s">
        <v>198</v>
      </c>
      <c r="J49" s="3" t="s">
        <v>34</v>
      </c>
      <c r="K49" s="2" t="s">
        <v>184</v>
      </c>
    </row>
    <row r="50" ht="15.75" customHeight="1">
      <c r="A50" s="2">
        <v>49.0</v>
      </c>
      <c r="B50" s="2" t="s">
        <v>199</v>
      </c>
      <c r="C50" s="2" t="s">
        <v>169</v>
      </c>
      <c r="D50" s="2" t="s">
        <v>200</v>
      </c>
      <c r="E50" s="2" t="s">
        <v>201</v>
      </c>
      <c r="F50" s="2">
        <v>4.0</v>
      </c>
      <c r="G50" s="2">
        <v>6.0</v>
      </c>
      <c r="H50" s="3">
        <v>2.0</v>
      </c>
      <c r="I50" s="2" t="s">
        <v>136</v>
      </c>
      <c r="J50" s="3" t="s">
        <v>16</v>
      </c>
      <c r="K50" s="2" t="s">
        <v>35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12.0"/>
    <col customWidth="1" min="4" max="4" width="14.0"/>
    <col customWidth="1" min="5" max="6" width="8.71"/>
  </cols>
  <sheetData>
    <row r="1">
      <c r="A1" s="4" t="s">
        <v>2</v>
      </c>
      <c r="B1" s="4" t="s">
        <v>202</v>
      </c>
      <c r="C1" s="4" t="s">
        <v>203</v>
      </c>
      <c r="D1" s="4" t="s">
        <v>6</v>
      </c>
    </row>
    <row r="2">
      <c r="A2" t="s">
        <v>12</v>
      </c>
      <c r="B2" t="str">
        <f>COUNTIF('Patna Business Data'!C:C,"*Restaurant*")</f>
        <v>10</v>
      </c>
      <c r="C2" t="str">
        <f>ROUND(AVERAGEIF('Patna Business Data'!C:C,"*Restaurant*",'Patna Business Data'!F:F),2)</f>
        <v>4.54</v>
      </c>
      <c r="D2" t="str">
        <f>SUMIF('Patna Business Data'!C:C,"*Restaurant*",'Patna Business Data'!G:G)</f>
        <v>37560</v>
      </c>
    </row>
    <row r="3">
      <c r="A3" t="s">
        <v>54</v>
      </c>
      <c r="B3" t="str">
        <f>COUNTIF('Patna Business Data'!C:C,"*Salon*")</f>
        <v>10</v>
      </c>
      <c r="C3" t="str">
        <f>ROUND(AVERAGEIF('Patna Business Data'!C:C,"*Salon*",'Patna Business Data'!F:F),2)</f>
        <v>4.81</v>
      </c>
      <c r="D3" t="str">
        <f>SUMIF('Patna Business Data'!C:C,"*Salon*",'Patna Business Data'!G:G)</f>
        <v>11749</v>
      </c>
    </row>
    <row r="4">
      <c r="A4" t="s">
        <v>93</v>
      </c>
      <c r="B4" t="str">
        <f>COUNTIF('Patna Business Data'!C:C,"*Cafe*")</f>
        <v>9</v>
      </c>
      <c r="C4" t="str">
        <f>ROUND(AVERAGEIF('Patna Business Data'!C:C,"*Cafe*",'Patna Business Data'!F:F),2)</f>
        <v>4.52</v>
      </c>
      <c r="D4" t="str">
        <f>SUMIF('Patna Business Data'!C:C,"*Cafe*",'Patna Business Data'!G:G)</f>
        <v>13710</v>
      </c>
    </row>
    <row r="5">
      <c r="A5" t="s">
        <v>130</v>
      </c>
      <c r="B5" t="str">
        <f>COUNTIF('Patna Business Data'!C:C,"*Gym*")</f>
        <v>10</v>
      </c>
      <c r="C5" t="str">
        <f>ROUND(AVERAGEIF('Patna Business Data'!C:C,"*Gym*",'Patna Business Data'!F:F),2)</f>
        <v>4.84</v>
      </c>
      <c r="D5" t="str">
        <f>SUMIF('Patna Business Data'!C:C,"*Gym*",'Patna Business Data'!G:G)</f>
        <v>4509</v>
      </c>
    </row>
    <row r="6">
      <c r="A6" t="s">
        <v>169</v>
      </c>
      <c r="B6" t="str">
        <f>COUNTIF('Patna Business Data'!C:C,"*Medical Store*")</f>
        <v>10</v>
      </c>
      <c r="C6" t="str">
        <f>ROUND(AVERAGEIF('Patna Business Data'!C:C,"*Medical Store*",'Patna Business Data'!F:F),2)</f>
        <v>4.48</v>
      </c>
      <c r="D6" t="str">
        <f>SUMIF('Patna Business Data'!C:C,"*Medical Store*",'Patna Business Data'!G:G)</f>
        <v>618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2026-07-06T17:09:54Z</dcterms:created>
  <dc:creator>openpyxl</dc:creator>
  <dc:description/>
  <dc:language>en-US</dc:language>
  <cp:lastModifiedBy/>
  <dcterms:modified xsi:type="dcterms:W3CDTF">2026-07-06T17:09:54Z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